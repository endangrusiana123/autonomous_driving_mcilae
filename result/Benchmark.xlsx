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075" activeTab="1"/>
  </bookViews>
  <sheets>
    <sheet name="benchmark" sheetId="1" r:id="rId1"/>
    <sheet name="Vp" sheetId="2" r:id="rId2"/>
    <sheet name="Benchmark value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calcPr calcId="144525"/>
</workbook>
</file>

<file path=xl/sharedStrings.xml><?xml version="1.0" encoding="utf-8"?>
<sst xmlns="http://schemas.openxmlformats.org/spreadsheetml/2006/main" count="229" uniqueCount="24">
  <si>
    <t>Task</t>
  </si>
  <si>
    <t>Training Conditions</t>
  </si>
  <si>
    <t>success rate</t>
  </si>
  <si>
    <t>Straight</t>
  </si>
  <si>
    <t>One Turn</t>
  </si>
  <si>
    <t>Navigation</t>
  </si>
  <si>
    <t>Nav. Dynamic</t>
  </si>
  <si>
    <t>New Town</t>
  </si>
  <si>
    <t>New Weather</t>
  </si>
  <si>
    <t>New Town &amp; New Weather</t>
  </si>
  <si>
    <t>CIL</t>
  </si>
  <si>
    <t>Run</t>
  </si>
  <si>
    <t>iteration</t>
  </si>
  <si>
    <t>100k</t>
  </si>
  <si>
    <t>200k</t>
  </si>
  <si>
    <t>300k</t>
  </si>
  <si>
    <t>400k</t>
  </si>
  <si>
    <t>500k</t>
  </si>
  <si>
    <t>Vp</t>
  </si>
  <si>
    <t>MCIL</t>
  </si>
  <si>
    <t>MCILA</t>
  </si>
  <si>
    <t>MCILE</t>
  </si>
  <si>
    <t>MCILAE</t>
  </si>
  <si>
    <t>mulcilf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</si>
</sst>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33" borderId="11" applyNumberFormat="0" applyFont="0" applyAlignment="0" applyProtection="0">
      <alignment vertical="center"/>
    </xf>
    <xf numFmtId="0" fontId="20" fillId="32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34" borderId="12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0" fontId="0" fillId="3" borderId="1" xfId="0" applyNumberFormat="1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vertical="center"/>
    </xf>
    <xf numFmtId="0" fontId="0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b val="1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6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ul_c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ul_cil_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ul_cil_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ul_cil_a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ul_cil_a2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w"/>
      <sheetName val="vt"/>
      <sheetName val="vwt"/>
      <sheetName val="validation_result"/>
      <sheetName val="tc"/>
      <sheetName val="nt"/>
      <sheetName val="nw"/>
      <sheetName val="ntw"/>
      <sheetName val="testing_result"/>
    </sheetNames>
    <sheetDataSet>
      <sheetData sheetId="0"/>
      <sheetData sheetId="1"/>
      <sheetData sheetId="2"/>
      <sheetData sheetId="3"/>
      <sheetData sheetId="4">
        <row r="1">
          <cell r="A1" t="str">
            <v>mulcil</v>
          </cell>
        </row>
        <row r="7">
          <cell r="O7">
            <v>1</v>
          </cell>
        </row>
        <row r="13">
          <cell r="O13">
            <v>0.805555555555556</v>
          </cell>
        </row>
        <row r="19">
          <cell r="O19">
            <v>0.652777777777778</v>
          </cell>
        </row>
        <row r="25">
          <cell r="O25">
            <v>0.297619047619048</v>
          </cell>
        </row>
      </sheetData>
      <sheetData sheetId="5">
        <row r="7">
          <cell r="O7">
            <v>1</v>
          </cell>
        </row>
        <row r="13">
          <cell r="O13">
            <v>0.722222222222222</v>
          </cell>
        </row>
        <row r="19">
          <cell r="O19">
            <v>0.430555555555556</v>
          </cell>
        </row>
        <row r="25">
          <cell r="O25">
            <v>0.238095238095238</v>
          </cell>
        </row>
      </sheetData>
      <sheetData sheetId="6">
        <row r="7">
          <cell r="I7">
            <v>1</v>
          </cell>
        </row>
        <row r="13">
          <cell r="I13">
            <v>0.777777777777778</v>
          </cell>
        </row>
        <row r="19">
          <cell r="I19">
            <v>0.75</v>
          </cell>
        </row>
        <row r="25">
          <cell r="I25">
            <v>0.333333333333333</v>
          </cell>
        </row>
      </sheetData>
      <sheetData sheetId="7">
        <row r="7">
          <cell r="I7">
            <v>1</v>
          </cell>
        </row>
        <row r="13">
          <cell r="I13">
            <v>0.638888888888889</v>
          </cell>
        </row>
        <row r="19">
          <cell r="I19">
            <v>0.416666666666667</v>
          </cell>
        </row>
        <row r="25">
          <cell r="I25">
            <v>0.261904761904762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w"/>
      <sheetName val="vt"/>
      <sheetName val="vwt"/>
      <sheetName val="validation_result"/>
      <sheetName val="tc"/>
      <sheetName val="nt"/>
      <sheetName val="nw"/>
      <sheetName val="ntw"/>
      <sheetName val="testing_result"/>
    </sheetNames>
    <sheetDataSet>
      <sheetData sheetId="0">
        <row r="2">
          <cell r="A2" t="str">
            <v>cil</v>
          </cell>
        </row>
      </sheetData>
      <sheetData sheetId="1"/>
      <sheetData sheetId="2"/>
      <sheetData sheetId="3"/>
      <sheetData sheetId="4">
        <row r="7">
          <cell r="O7">
            <v>1</v>
          </cell>
        </row>
        <row r="13">
          <cell r="O13">
            <v>0.444444444444444</v>
          </cell>
        </row>
        <row r="19">
          <cell r="O19">
            <v>0.444444444444444</v>
          </cell>
        </row>
        <row r="25">
          <cell r="O25">
            <v>0.107142857142857</v>
          </cell>
        </row>
      </sheetData>
      <sheetData sheetId="5">
        <row r="7">
          <cell r="O7">
            <v>1</v>
          </cell>
        </row>
        <row r="13">
          <cell r="O13">
            <v>0.5</v>
          </cell>
        </row>
        <row r="19">
          <cell r="O19">
            <v>0.277777777777778</v>
          </cell>
        </row>
        <row r="25">
          <cell r="O25">
            <v>0.119047619047619</v>
          </cell>
        </row>
      </sheetData>
      <sheetData sheetId="6">
        <row r="7">
          <cell r="I7">
            <v>1</v>
          </cell>
        </row>
        <row r="13">
          <cell r="I13">
            <v>0.444444444444444</v>
          </cell>
        </row>
        <row r="19">
          <cell r="I19">
            <v>0.361111111111111</v>
          </cell>
        </row>
        <row r="25">
          <cell r="I25">
            <v>0.0714285714285714</v>
          </cell>
        </row>
      </sheetData>
      <sheetData sheetId="7">
        <row r="7">
          <cell r="I7">
            <v>1</v>
          </cell>
        </row>
        <row r="13">
          <cell r="I13">
            <v>0.416666666666667</v>
          </cell>
        </row>
        <row r="19">
          <cell r="I19">
            <v>0.138888888888889</v>
          </cell>
        </row>
        <row r="25">
          <cell r="I25">
            <v>0.0714285714285714</v>
          </cell>
        </row>
      </sheetData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vw"/>
      <sheetName val="vt"/>
      <sheetName val="vwt"/>
      <sheetName val="validation_result"/>
      <sheetName val="tc"/>
      <sheetName val="nt"/>
      <sheetName val="nw"/>
      <sheetName val="ntw"/>
      <sheetName val="testing_resu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mulcile</v>
          </cell>
        </row>
        <row r="4">
          <cell r="B4">
            <v>100</v>
          </cell>
        </row>
        <row r="5">
          <cell r="B5">
            <v>97.22</v>
          </cell>
        </row>
        <row r="6">
          <cell r="B6">
            <v>94.44</v>
          </cell>
        </row>
        <row r="7">
          <cell r="B7">
            <v>89.29</v>
          </cell>
        </row>
        <row r="10">
          <cell r="B10">
            <v>100</v>
          </cell>
        </row>
        <row r="11">
          <cell r="B11">
            <v>72.22</v>
          </cell>
        </row>
        <row r="12">
          <cell r="B12">
            <v>63.89</v>
          </cell>
        </row>
        <row r="13">
          <cell r="B13">
            <v>48.81</v>
          </cell>
        </row>
        <row r="16">
          <cell r="B16">
            <v>100</v>
          </cell>
        </row>
        <row r="17">
          <cell r="B17">
            <v>94.44</v>
          </cell>
        </row>
        <row r="18">
          <cell r="B18">
            <v>100</v>
          </cell>
        </row>
        <row r="19">
          <cell r="B19">
            <v>90.48</v>
          </cell>
        </row>
        <row r="22">
          <cell r="B22">
            <v>100</v>
          </cell>
        </row>
        <row r="23">
          <cell r="B23">
            <v>69.44</v>
          </cell>
        </row>
        <row r="24">
          <cell r="B24">
            <v>61.11</v>
          </cell>
        </row>
        <row r="25">
          <cell r="B25">
            <v>40.48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w"/>
      <sheetName val="vt"/>
      <sheetName val="vwt"/>
      <sheetName val="validation_result"/>
      <sheetName val="tc"/>
      <sheetName val="nt"/>
      <sheetName val="nw"/>
      <sheetName val="ntw"/>
      <sheetName val="testing_resu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mulcilf</v>
          </cell>
        </row>
        <row r="4">
          <cell r="B4">
            <v>100</v>
          </cell>
        </row>
        <row r="5">
          <cell r="B5">
            <v>87.5</v>
          </cell>
        </row>
        <row r="6">
          <cell r="B6">
            <v>68.06</v>
          </cell>
        </row>
        <row r="7">
          <cell r="B7">
            <v>42.86</v>
          </cell>
        </row>
        <row r="10">
          <cell r="B10">
            <v>100</v>
          </cell>
        </row>
        <row r="11">
          <cell r="B11">
            <v>56.94</v>
          </cell>
        </row>
        <row r="12">
          <cell r="B12">
            <v>41.67</v>
          </cell>
        </row>
        <row r="13">
          <cell r="B13">
            <v>22.62</v>
          </cell>
        </row>
        <row r="16">
          <cell r="B16">
            <v>100</v>
          </cell>
        </row>
        <row r="17">
          <cell r="B17">
            <v>69.44</v>
          </cell>
        </row>
        <row r="18">
          <cell r="B18">
            <v>58.33</v>
          </cell>
        </row>
        <row r="19">
          <cell r="B19">
            <v>38.1</v>
          </cell>
        </row>
        <row r="22">
          <cell r="B22">
            <v>100</v>
          </cell>
        </row>
        <row r="23">
          <cell r="B23">
            <v>55.56</v>
          </cell>
        </row>
        <row r="24">
          <cell r="B24">
            <v>47.22</v>
          </cell>
        </row>
        <row r="25">
          <cell r="B25">
            <v>19.05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vw"/>
      <sheetName val="vt"/>
      <sheetName val="vwt"/>
      <sheetName val="validation_result"/>
      <sheetName val="tc"/>
      <sheetName val="nt"/>
      <sheetName val="nw"/>
      <sheetName val="ntw"/>
      <sheetName val="testing_result"/>
    </sheetNames>
    <sheetDataSet>
      <sheetData sheetId="0"/>
      <sheetData sheetId="1"/>
      <sheetData sheetId="2"/>
      <sheetData sheetId="3"/>
      <sheetData sheetId="4">
        <row r="7">
          <cell r="O7">
            <v>1</v>
          </cell>
        </row>
        <row r="13">
          <cell r="O13">
            <v>0.944444444444444</v>
          </cell>
        </row>
        <row r="19">
          <cell r="O19">
            <v>0.875</v>
          </cell>
        </row>
        <row r="25">
          <cell r="O25">
            <v>0.464285714285714</v>
          </cell>
        </row>
      </sheetData>
      <sheetData sheetId="5">
        <row r="7">
          <cell r="O7">
            <v>1</v>
          </cell>
        </row>
        <row r="13">
          <cell r="O13">
            <v>0.694444444444444</v>
          </cell>
        </row>
        <row r="19">
          <cell r="O19">
            <v>0.458333333333333</v>
          </cell>
        </row>
        <row r="25">
          <cell r="O25">
            <v>0.333333333333333</v>
          </cell>
        </row>
      </sheetData>
      <sheetData sheetId="6">
        <row r="7">
          <cell r="I7">
            <v>1</v>
          </cell>
        </row>
        <row r="13">
          <cell r="I13">
            <v>0.972222222222222</v>
          </cell>
        </row>
        <row r="19">
          <cell r="I19">
            <v>0.944444444444444</v>
          </cell>
        </row>
        <row r="25">
          <cell r="I25">
            <v>0.238095238095238</v>
          </cell>
        </row>
      </sheetData>
      <sheetData sheetId="7">
        <row r="7">
          <cell r="I7">
            <v>1</v>
          </cell>
        </row>
        <row r="13">
          <cell r="I13">
            <v>0.805555555555556</v>
          </cell>
        </row>
        <row r="19">
          <cell r="I19">
            <v>0.5</v>
          </cell>
        </row>
        <row r="25">
          <cell r="I25">
            <v>0.238095238095238</v>
          </cell>
        </row>
      </sheetData>
      <sheetData sheetId="8">
        <row r="1">
          <cell r="B1" t="str">
            <v>mulcila2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vw"/>
      <sheetName val="vt"/>
      <sheetName val="vwt"/>
      <sheetName val="validation_result"/>
      <sheetName val="tc"/>
      <sheetName val="nt"/>
      <sheetName val="nw"/>
      <sheetName val="ntw"/>
      <sheetName val="testing_result"/>
    </sheetNames>
    <sheetDataSet>
      <sheetData sheetId="0"/>
      <sheetData sheetId="1"/>
      <sheetData sheetId="2"/>
      <sheetData sheetId="3"/>
      <sheetData sheetId="4">
        <row r="7">
          <cell r="O7">
            <v>1</v>
          </cell>
        </row>
        <row r="13">
          <cell r="O13">
            <v>0.972222222222222</v>
          </cell>
        </row>
        <row r="19">
          <cell r="O19">
            <v>0.958333333333333</v>
          </cell>
        </row>
        <row r="25">
          <cell r="O25">
            <v>0.892857142857143</v>
          </cell>
        </row>
      </sheetData>
      <sheetData sheetId="5">
        <row r="7">
          <cell r="O7">
            <v>1</v>
          </cell>
        </row>
        <row r="13">
          <cell r="O13">
            <v>0.722222222222222</v>
          </cell>
        </row>
        <row r="19">
          <cell r="O19">
            <v>0.625</v>
          </cell>
        </row>
        <row r="25">
          <cell r="O25">
            <v>0.392857142857143</v>
          </cell>
        </row>
      </sheetData>
      <sheetData sheetId="6">
        <row r="7">
          <cell r="I7">
            <v>1</v>
          </cell>
        </row>
        <row r="13">
          <cell r="I13">
            <v>0.916666666666667</v>
          </cell>
        </row>
        <row r="19">
          <cell r="I19">
            <v>0.888888888888889</v>
          </cell>
        </row>
        <row r="25">
          <cell r="I25">
            <v>0.904761904761905</v>
          </cell>
        </row>
      </sheetData>
      <sheetData sheetId="7">
        <row r="7">
          <cell r="I7">
            <v>1</v>
          </cell>
        </row>
        <row r="13">
          <cell r="I13">
            <v>0.777777777777778</v>
          </cell>
        </row>
        <row r="19">
          <cell r="I19">
            <v>0.805555555555556</v>
          </cell>
        </row>
        <row r="25">
          <cell r="I25">
            <v>0.285714285714286</v>
          </cell>
        </row>
      </sheetData>
      <sheetData sheetId="8">
        <row r="1">
          <cell r="B1" t="str">
            <v>mulcila2e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:G25"/>
    </sheetView>
  </sheetViews>
  <sheetFormatPr defaultColWidth="8.88888888888889" defaultRowHeight="15" outlineLevelCol="6"/>
  <cols>
    <col min="1" max="1" width="11.7777777777778" customWidth="1"/>
    <col min="2" max="5" width="22.1111111111111" customWidth="1"/>
    <col min="6" max="7" width="23.5555555555556" customWidth="1"/>
    <col min="8" max="8" width="21.8888888888889" customWidth="1"/>
  </cols>
  <sheetData>
    <row r="1" ht="27.75" spans="1:7">
      <c r="A1" s="8" t="s">
        <v>0</v>
      </c>
      <c r="B1" s="9" t="str">
        <f>[2]vw!A2</f>
        <v>cil</v>
      </c>
      <c r="C1" s="9" t="str">
        <f>[1]tc!A1</f>
        <v>mulcil</v>
      </c>
      <c r="D1" s="9" t="str">
        <f>[5]testing_result!$B$1</f>
        <v>mulcila2</v>
      </c>
      <c r="E1" s="9" t="str">
        <f>[3]testing_result!$B$1</f>
        <v>mulcile</v>
      </c>
      <c r="F1" s="9" t="str">
        <f>[6]testing_result!$B$1</f>
        <v>mulcila2e</v>
      </c>
      <c r="G1" s="9" t="str">
        <f>[4]testing_result!$B$1</f>
        <v>mulcilf</v>
      </c>
    </row>
    <row r="2" spans="1:7">
      <c r="A2" s="8"/>
      <c r="B2" s="8" t="s">
        <v>1</v>
      </c>
      <c r="C2" s="8" t="s">
        <v>1</v>
      </c>
      <c r="D2" s="8" t="s">
        <v>1</v>
      </c>
      <c r="E2" s="8" t="s">
        <v>1</v>
      </c>
      <c r="F2" s="8" t="s">
        <v>1</v>
      </c>
      <c r="G2" s="8" t="s">
        <v>1</v>
      </c>
    </row>
    <row r="3" spans="1:7">
      <c r="A3" s="8"/>
      <c r="B3" s="8" t="s">
        <v>2</v>
      </c>
      <c r="C3" s="8" t="s">
        <v>2</v>
      </c>
      <c r="D3" s="8" t="s">
        <v>2</v>
      </c>
      <c r="E3" s="8" t="s">
        <v>2</v>
      </c>
      <c r="F3" s="8" t="s">
        <v>2</v>
      </c>
      <c r="G3" s="8" t="s">
        <v>2</v>
      </c>
    </row>
    <row r="4" spans="1:7">
      <c r="A4" s="10" t="s">
        <v>3</v>
      </c>
      <c r="B4" s="10">
        <f>ROUND([2]tc!$O$7*100,2)</f>
        <v>100</v>
      </c>
      <c r="C4" s="11">
        <f>ROUND([1]tc!$O$7*100,2)</f>
        <v>100</v>
      </c>
      <c r="D4" s="10">
        <f>ROUND([5]tc!$O$7*100,2)</f>
        <v>100</v>
      </c>
      <c r="E4" s="11">
        <f>[3]testing_result!$B4</f>
        <v>100</v>
      </c>
      <c r="F4" s="10">
        <f>ROUND([6]tc!$O$7*100,2)</f>
        <v>100</v>
      </c>
      <c r="G4" s="11">
        <f>[4]testing_result!$B4</f>
        <v>100</v>
      </c>
    </row>
    <row r="5" spans="1:7">
      <c r="A5" s="10" t="s">
        <v>4</v>
      </c>
      <c r="B5" s="10">
        <f>ROUND([2]tc!$O$13*100,2)</f>
        <v>44.44</v>
      </c>
      <c r="C5" s="11">
        <f>ROUND([1]tc!$O$13*100,2)</f>
        <v>80.56</v>
      </c>
      <c r="D5" s="10">
        <f>ROUND([5]tc!$O$13*100,2)</f>
        <v>94.44</v>
      </c>
      <c r="E5" s="11">
        <f>[3]testing_result!$B5</f>
        <v>97.22</v>
      </c>
      <c r="F5" s="10">
        <f>ROUND([6]tc!$O$13*100,2)</f>
        <v>97.22</v>
      </c>
      <c r="G5" s="11">
        <f>[4]testing_result!$B5</f>
        <v>87.5</v>
      </c>
    </row>
    <row r="6" spans="1:7">
      <c r="A6" s="10" t="s">
        <v>5</v>
      </c>
      <c r="B6" s="10">
        <f>ROUND([2]tc!$O$19*100,2)</f>
        <v>44.44</v>
      </c>
      <c r="C6" s="11">
        <f>ROUND([1]tc!$O$19*100,2)</f>
        <v>65.28</v>
      </c>
      <c r="D6" s="10">
        <f>ROUND([5]tc!$O$19*100,2)</f>
        <v>87.5</v>
      </c>
      <c r="E6" s="11">
        <f>[3]testing_result!$B6</f>
        <v>94.44</v>
      </c>
      <c r="F6" s="10">
        <f>ROUND([6]tc!$O$19*100,2)</f>
        <v>95.83</v>
      </c>
      <c r="G6" s="11">
        <f>[4]testing_result!$B6</f>
        <v>68.06</v>
      </c>
    </row>
    <row r="7" spans="1:7">
      <c r="A7" s="10" t="s">
        <v>6</v>
      </c>
      <c r="B7" s="10">
        <f>ROUND([2]tc!$O$25*100,2)</f>
        <v>10.71</v>
      </c>
      <c r="C7" s="11">
        <f>ROUND([1]tc!$O$25*100,2)</f>
        <v>29.76</v>
      </c>
      <c r="D7" s="10">
        <f>ROUND([5]tc!$O$25*100,2)</f>
        <v>46.43</v>
      </c>
      <c r="E7" s="11">
        <f>[3]testing_result!$B7</f>
        <v>89.29</v>
      </c>
      <c r="F7" s="10">
        <f>ROUND([6]tc!$O$25*100,2)</f>
        <v>89.29</v>
      </c>
      <c r="G7" s="11">
        <f>[4]testing_result!$B7</f>
        <v>42.86</v>
      </c>
    </row>
    <row r="8" spans="1:7">
      <c r="A8" s="12" t="s">
        <v>0</v>
      </c>
      <c r="B8" s="12" t="s">
        <v>7</v>
      </c>
      <c r="C8" s="13" t="s">
        <v>7</v>
      </c>
      <c r="D8" s="12" t="s">
        <v>7</v>
      </c>
      <c r="E8" s="13" t="s">
        <v>7</v>
      </c>
      <c r="F8" s="12" t="s">
        <v>7</v>
      </c>
      <c r="G8" s="13" t="s">
        <v>7</v>
      </c>
    </row>
    <row r="9" spans="1:7">
      <c r="A9" s="12"/>
      <c r="B9" s="12" t="s">
        <v>2</v>
      </c>
      <c r="C9" s="13" t="s">
        <v>2</v>
      </c>
      <c r="D9" s="12" t="s">
        <v>2</v>
      </c>
      <c r="E9" s="13" t="s">
        <v>2</v>
      </c>
      <c r="F9" s="12" t="s">
        <v>2</v>
      </c>
      <c r="G9" s="13" t="s">
        <v>2</v>
      </c>
    </row>
    <row r="10" spans="1:7">
      <c r="A10" s="14" t="s">
        <v>3</v>
      </c>
      <c r="B10" s="15">
        <f>ROUND([2]nt!$O$7*100,2)</f>
        <v>100</v>
      </c>
      <c r="C10" s="16">
        <f>ROUND([1]nt!$O$7*100,2)</f>
        <v>100</v>
      </c>
      <c r="D10" s="15">
        <f>ROUND([5]nt!$O$7*100,2)</f>
        <v>100</v>
      </c>
      <c r="E10" s="16">
        <f>[3]testing_result!$B10</f>
        <v>100</v>
      </c>
      <c r="F10" s="15">
        <f>ROUND([6]nt!$O$7*100,2)</f>
        <v>100</v>
      </c>
      <c r="G10" s="16">
        <f>[4]testing_result!$B10</f>
        <v>100</v>
      </c>
    </row>
    <row r="11" spans="1:7">
      <c r="A11" s="14" t="s">
        <v>4</v>
      </c>
      <c r="B11" s="15">
        <f>ROUND([2]nt!$O$13*100,2)</f>
        <v>50</v>
      </c>
      <c r="C11" s="16">
        <f>ROUND([1]nt!$O$13*100,2)</f>
        <v>72.22</v>
      </c>
      <c r="D11" s="15">
        <f>ROUND([5]nt!$O$13*100,2)</f>
        <v>69.44</v>
      </c>
      <c r="E11" s="16">
        <f>[3]testing_result!$B11</f>
        <v>72.22</v>
      </c>
      <c r="F11" s="15">
        <f>ROUND([6]nt!$O$13*100,2)</f>
        <v>72.22</v>
      </c>
      <c r="G11" s="16">
        <f>[4]testing_result!$B11</f>
        <v>56.94</v>
      </c>
    </row>
    <row r="12" spans="1:7">
      <c r="A12" s="14" t="s">
        <v>5</v>
      </c>
      <c r="B12" s="15">
        <f>ROUND([2]nt!$O$19*100,2)</f>
        <v>27.78</v>
      </c>
      <c r="C12" s="16">
        <f>ROUND([1]nt!$O$19*100,2)</f>
        <v>43.06</v>
      </c>
      <c r="D12" s="15">
        <f>ROUND([5]nt!$O$19*100,2)</f>
        <v>45.83</v>
      </c>
      <c r="E12" s="16">
        <f>[3]testing_result!$B12</f>
        <v>63.89</v>
      </c>
      <c r="F12" s="15">
        <f>ROUND([6]nt!$O$19*100,2)</f>
        <v>62.5</v>
      </c>
      <c r="G12" s="16">
        <f>[4]testing_result!$B12</f>
        <v>41.67</v>
      </c>
    </row>
    <row r="13" spans="1:7">
      <c r="A13" s="14" t="s">
        <v>6</v>
      </c>
      <c r="B13" s="15">
        <f>ROUND([2]nt!$O$25*100,2)</f>
        <v>11.9</v>
      </c>
      <c r="C13" s="16">
        <f>ROUND([1]nt!$O$25*100,2)</f>
        <v>23.81</v>
      </c>
      <c r="D13" s="15">
        <f>ROUND([5]nt!$O$25*100,2)</f>
        <v>33.33</v>
      </c>
      <c r="E13" s="16">
        <f>[3]testing_result!$B13</f>
        <v>48.81</v>
      </c>
      <c r="F13" s="15">
        <f>ROUND([6]nt!$O$25*100,2)</f>
        <v>39.29</v>
      </c>
      <c r="G13" s="16">
        <f>[4]testing_result!$B13</f>
        <v>22.62</v>
      </c>
    </row>
    <row r="14" spans="1:7">
      <c r="A14" s="8" t="s">
        <v>0</v>
      </c>
      <c r="B14" s="8" t="s">
        <v>8</v>
      </c>
      <c r="C14" s="17" t="s">
        <v>8</v>
      </c>
      <c r="D14" s="8" t="s">
        <v>8</v>
      </c>
      <c r="E14" s="17" t="s">
        <v>8</v>
      </c>
      <c r="F14" s="8" t="s">
        <v>8</v>
      </c>
      <c r="G14" s="17" t="s">
        <v>8</v>
      </c>
    </row>
    <row r="15" spans="1:7">
      <c r="A15" s="8"/>
      <c r="B15" s="8" t="s">
        <v>2</v>
      </c>
      <c r="C15" s="17" t="s">
        <v>2</v>
      </c>
      <c r="D15" s="8" t="s">
        <v>2</v>
      </c>
      <c r="E15" s="17" t="s">
        <v>2</v>
      </c>
      <c r="F15" s="8" t="s">
        <v>2</v>
      </c>
      <c r="G15" s="17" t="s">
        <v>2</v>
      </c>
    </row>
    <row r="16" spans="1:7">
      <c r="A16" s="10" t="s">
        <v>3</v>
      </c>
      <c r="B16" s="18">
        <f>ROUND([2]nw!$I$7*100,2)</f>
        <v>100</v>
      </c>
      <c r="C16" s="19">
        <f>ROUND([1]nw!$I$7*100,2)</f>
        <v>100</v>
      </c>
      <c r="D16" s="18">
        <f>ROUND([5]nw!$I$7*100,2)</f>
        <v>100</v>
      </c>
      <c r="E16" s="19">
        <f>[3]testing_result!$B16</f>
        <v>100</v>
      </c>
      <c r="F16" s="18">
        <f>ROUND([6]nw!$I$7*100,2)</f>
        <v>100</v>
      </c>
      <c r="G16" s="19">
        <f>[4]testing_result!$B16</f>
        <v>100</v>
      </c>
    </row>
    <row r="17" spans="1:7">
      <c r="A17" s="10" t="s">
        <v>4</v>
      </c>
      <c r="B17" s="18">
        <f>ROUND([2]nw!$I$13*100,2)</f>
        <v>44.44</v>
      </c>
      <c r="C17" s="19">
        <f>ROUND([1]nw!$I$13*100,2)</f>
        <v>77.78</v>
      </c>
      <c r="D17" s="18">
        <f>ROUND([5]nw!$I$13*100,2)</f>
        <v>97.22</v>
      </c>
      <c r="E17" s="19">
        <f>[3]testing_result!$B17</f>
        <v>94.44</v>
      </c>
      <c r="F17" s="18">
        <f>ROUND([6]nw!$I$13*100,2)</f>
        <v>91.67</v>
      </c>
      <c r="G17" s="19">
        <f>[4]testing_result!$B17</f>
        <v>69.44</v>
      </c>
    </row>
    <row r="18" spans="1:7">
      <c r="A18" s="10" t="s">
        <v>5</v>
      </c>
      <c r="B18" s="18">
        <f>ROUND([2]nw!$I$19*100,2)</f>
        <v>36.11</v>
      </c>
      <c r="C18" s="19">
        <f>ROUND([1]nw!$I$19*100,2)</f>
        <v>75</v>
      </c>
      <c r="D18" s="18">
        <f>ROUND([5]nw!$I$19*100,2)</f>
        <v>94.44</v>
      </c>
      <c r="E18" s="19">
        <f>[3]testing_result!$B18</f>
        <v>100</v>
      </c>
      <c r="F18" s="18">
        <f>ROUND([6]nw!$I$19*100,2)</f>
        <v>88.89</v>
      </c>
      <c r="G18" s="19">
        <f>[4]testing_result!$B18</f>
        <v>58.33</v>
      </c>
    </row>
    <row r="19" spans="1:7">
      <c r="A19" s="10" t="s">
        <v>6</v>
      </c>
      <c r="B19" s="18">
        <f>ROUND([2]nw!$I$25*100,2)</f>
        <v>7.14</v>
      </c>
      <c r="C19" s="19">
        <f>ROUND([1]nw!$I$25*100,2)</f>
        <v>33.33</v>
      </c>
      <c r="D19" s="18">
        <f>ROUND([5]nw!$I$25*100,2)</f>
        <v>23.81</v>
      </c>
      <c r="E19" s="19">
        <f>[3]testing_result!$B19</f>
        <v>90.48</v>
      </c>
      <c r="F19" s="18">
        <f>ROUND([6]nw!$I$25*100,2)</f>
        <v>90.48</v>
      </c>
      <c r="G19" s="19">
        <f>[4]testing_result!$B19</f>
        <v>38.1</v>
      </c>
    </row>
    <row r="20" spans="1:7">
      <c r="A20" s="12" t="s">
        <v>0</v>
      </c>
      <c r="B20" s="12" t="s">
        <v>9</v>
      </c>
      <c r="C20" s="13" t="s">
        <v>9</v>
      </c>
      <c r="D20" s="12" t="s">
        <v>9</v>
      </c>
      <c r="E20" s="13" t="s">
        <v>9</v>
      </c>
      <c r="F20" s="12" t="s">
        <v>9</v>
      </c>
      <c r="G20" s="13" t="s">
        <v>9</v>
      </c>
    </row>
    <row r="21" spans="1:7">
      <c r="A21" s="12"/>
      <c r="B21" s="12" t="s">
        <v>2</v>
      </c>
      <c r="C21" s="13" t="s">
        <v>2</v>
      </c>
      <c r="D21" s="12" t="s">
        <v>2</v>
      </c>
      <c r="E21" s="13" t="s">
        <v>2</v>
      </c>
      <c r="F21" s="12" t="s">
        <v>2</v>
      </c>
      <c r="G21" s="13" t="s">
        <v>2</v>
      </c>
    </row>
    <row r="22" spans="1:7">
      <c r="A22" s="14" t="s">
        <v>3</v>
      </c>
      <c r="B22" s="15">
        <f>ROUND([2]ntw!$I$7*100,2)</f>
        <v>100</v>
      </c>
      <c r="C22" s="16">
        <f>ROUND([1]ntw!$I$7*100,2)</f>
        <v>100</v>
      </c>
      <c r="D22" s="15">
        <f>ROUND([5]ntw!$I$7*100,2)</f>
        <v>100</v>
      </c>
      <c r="E22" s="16">
        <f>[3]testing_result!$B22</f>
        <v>100</v>
      </c>
      <c r="F22" s="15">
        <f>ROUND([6]ntw!$I$7*100,2)</f>
        <v>100</v>
      </c>
      <c r="G22" s="16">
        <f>[4]testing_result!$B22</f>
        <v>100</v>
      </c>
    </row>
    <row r="23" spans="1:7">
      <c r="A23" s="14" t="s">
        <v>4</v>
      </c>
      <c r="B23" s="15">
        <f>ROUND([2]ntw!$I$13*100,2)</f>
        <v>41.67</v>
      </c>
      <c r="C23" s="16">
        <f>ROUND([1]ntw!$I$13*100,2)</f>
        <v>63.89</v>
      </c>
      <c r="D23" s="15">
        <f>ROUND([5]ntw!$I$13*100,2)</f>
        <v>80.56</v>
      </c>
      <c r="E23" s="16">
        <f>[3]testing_result!$B23</f>
        <v>69.44</v>
      </c>
      <c r="F23" s="15">
        <f>ROUND([6]ntw!$I$13*100,2)</f>
        <v>77.78</v>
      </c>
      <c r="G23" s="16">
        <f>[4]testing_result!$B23</f>
        <v>55.56</v>
      </c>
    </row>
    <row r="24" spans="1:7">
      <c r="A24" s="14" t="s">
        <v>5</v>
      </c>
      <c r="B24" s="15">
        <f>ROUND([2]ntw!$I$19*100,2)</f>
        <v>13.89</v>
      </c>
      <c r="C24" s="16">
        <f>ROUND([1]ntw!$I$19*100,2)</f>
        <v>41.67</v>
      </c>
      <c r="D24" s="15">
        <f>ROUND([5]ntw!$I$19*100,2)</f>
        <v>50</v>
      </c>
      <c r="E24" s="16">
        <f>[3]testing_result!$B24</f>
        <v>61.11</v>
      </c>
      <c r="F24" s="15">
        <f>ROUND([6]ntw!$I$19*100,2)</f>
        <v>80.56</v>
      </c>
      <c r="G24" s="16">
        <f>[4]testing_result!$B24</f>
        <v>47.22</v>
      </c>
    </row>
    <row r="25" spans="1:7">
      <c r="A25" s="14" t="s">
        <v>6</v>
      </c>
      <c r="B25" s="15">
        <f>ROUND([2]ntw!$I$25*100,2)</f>
        <v>7.14</v>
      </c>
      <c r="C25" s="16">
        <f>ROUND([1]ntw!$I$25*100,2)</f>
        <v>26.19</v>
      </c>
      <c r="D25" s="15">
        <f>ROUND([5]ntw!$I$25*100,2)</f>
        <v>23.81</v>
      </c>
      <c r="E25" s="16">
        <f>[3]testing_result!$B25</f>
        <v>40.48</v>
      </c>
      <c r="F25" s="15">
        <f>ROUND([6]ntw!$I$25*100,2)</f>
        <v>28.57</v>
      </c>
      <c r="G25" s="16">
        <f>[4]testing_result!$B25</f>
        <v>19.05</v>
      </c>
    </row>
  </sheetData>
  <mergeCells count="4">
    <mergeCell ref="A1:A3"/>
    <mergeCell ref="A8:A9"/>
    <mergeCell ref="A14:A15"/>
    <mergeCell ref="A20:A21"/>
  </mergeCells>
  <conditionalFormatting sqref="G4:G25">
    <cfRule type="expression" dxfId="0" priority="1">
      <formula>G4=MAX($B4:$E4)</formula>
    </cfRule>
  </conditionalFormatting>
  <conditionalFormatting sqref="B4:F25">
    <cfRule type="expression" dxfId="0" priority="2">
      <formula>B4=MAX($B4:$E4)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tabSelected="1" zoomScale="85" zoomScaleNormal="85" workbookViewId="0">
      <selection activeCell="M23" sqref="M23"/>
    </sheetView>
  </sheetViews>
  <sheetFormatPr defaultColWidth="8.88888888888889" defaultRowHeight="15"/>
  <cols>
    <col min="1" max="1" width="7.55555555555556" customWidth="1"/>
    <col min="2" max="6" width="5.22222222222222" customWidth="1"/>
    <col min="7" max="8" width="5.11111111111111" customWidth="1"/>
    <col min="9" max="11" width="5.22222222222222" customWidth="1"/>
    <col min="12" max="12" width="5.11111111111111" customWidth="1"/>
    <col min="13" max="23" width="5.22222222222222" customWidth="1"/>
    <col min="24" max="24" width="5.11111111111111" customWidth="1"/>
    <col min="25" max="26" width="5.22222222222222" customWidth="1"/>
  </cols>
  <sheetData>
    <row r="1" spans="1:26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11</v>
      </c>
      <c r="B2" s="4">
        <v>1</v>
      </c>
      <c r="C2" s="5"/>
      <c r="D2" s="5"/>
      <c r="E2" s="5"/>
      <c r="F2" s="6"/>
      <c r="G2" s="4">
        <v>2</v>
      </c>
      <c r="H2" s="5"/>
      <c r="I2" s="5"/>
      <c r="J2" s="5"/>
      <c r="K2" s="6"/>
      <c r="L2" s="4">
        <v>3</v>
      </c>
      <c r="M2" s="5"/>
      <c r="N2" s="5"/>
      <c r="O2" s="5"/>
      <c r="P2" s="6"/>
      <c r="Q2" s="4">
        <v>4</v>
      </c>
      <c r="R2" s="5"/>
      <c r="S2" s="5"/>
      <c r="T2" s="5"/>
      <c r="U2" s="6"/>
      <c r="V2" s="4">
        <v>5</v>
      </c>
      <c r="W2" s="5"/>
      <c r="X2" s="5"/>
      <c r="Y2" s="5"/>
      <c r="Z2" s="6"/>
    </row>
    <row r="3" spans="1:26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13</v>
      </c>
      <c r="R3" s="3" t="s">
        <v>14</v>
      </c>
      <c r="S3" s="3" t="s">
        <v>15</v>
      </c>
      <c r="T3" s="3" t="s">
        <v>16</v>
      </c>
      <c r="U3" s="3" t="s">
        <v>17</v>
      </c>
      <c r="V3" s="3" t="s">
        <v>13</v>
      </c>
      <c r="W3" s="3" t="s">
        <v>14</v>
      </c>
      <c r="X3" s="3" t="s">
        <v>15</v>
      </c>
      <c r="Y3" s="3" t="s">
        <v>16</v>
      </c>
      <c r="Z3" s="3" t="s">
        <v>17</v>
      </c>
    </row>
    <row r="4" spans="1:26">
      <c r="A4" s="3" t="s">
        <v>18</v>
      </c>
      <c r="B4" s="3">
        <v>0.28</v>
      </c>
      <c r="C4" s="3">
        <v>0.48</v>
      </c>
      <c r="D4" s="3">
        <v>0.47</v>
      </c>
      <c r="E4" s="7">
        <v>0.55</v>
      </c>
      <c r="F4" s="3">
        <v>0.46</v>
      </c>
      <c r="G4" s="3">
        <v>0</v>
      </c>
      <c r="H4" s="3">
        <v>0.4</v>
      </c>
      <c r="I4" s="3">
        <v>0.43</v>
      </c>
      <c r="J4" s="3">
        <v>0.47</v>
      </c>
      <c r="K4" s="3">
        <v>0.51</v>
      </c>
      <c r="L4" s="3">
        <v>0.3</v>
      </c>
      <c r="M4" s="3">
        <v>0.49</v>
      </c>
      <c r="N4" s="3">
        <v>0.49</v>
      </c>
      <c r="O4" s="3">
        <v>0.51</v>
      </c>
      <c r="P4" s="3">
        <v>0.49</v>
      </c>
      <c r="Q4" s="3">
        <v>0.34</v>
      </c>
      <c r="R4" s="3">
        <v>0.34</v>
      </c>
      <c r="S4" s="3">
        <v>0.36</v>
      </c>
      <c r="T4" s="3">
        <v>0.38</v>
      </c>
      <c r="U4" s="3">
        <v>0.42</v>
      </c>
      <c r="V4" s="3">
        <v>0.35</v>
      </c>
      <c r="W4" s="3">
        <v>0.44</v>
      </c>
      <c r="X4" s="3">
        <v>0.4</v>
      </c>
      <c r="Y4" s="3">
        <v>0.43</v>
      </c>
      <c r="Z4" s="3">
        <v>0.48</v>
      </c>
    </row>
    <row r="5" spans="1:26">
      <c r="A5" s="2" t="s">
        <v>19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11</v>
      </c>
      <c r="B6" s="4">
        <v>1</v>
      </c>
      <c r="C6" s="5"/>
      <c r="D6" s="5"/>
      <c r="E6" s="5"/>
      <c r="F6" s="6"/>
      <c r="G6" s="4">
        <v>2</v>
      </c>
      <c r="H6" s="5"/>
      <c r="I6" s="5"/>
      <c r="J6" s="5"/>
      <c r="K6" s="6"/>
      <c r="L6" s="4">
        <v>3</v>
      </c>
      <c r="M6" s="5"/>
      <c r="N6" s="5"/>
      <c r="O6" s="5"/>
      <c r="P6" s="6"/>
      <c r="Q6" s="4">
        <v>4</v>
      </c>
      <c r="R6" s="5"/>
      <c r="S6" s="5"/>
      <c r="T6" s="5"/>
      <c r="U6" s="6"/>
      <c r="V6" s="4">
        <v>5</v>
      </c>
      <c r="W6" s="5"/>
      <c r="X6" s="5"/>
      <c r="Y6" s="5"/>
      <c r="Z6" s="6"/>
    </row>
    <row r="7" spans="1:26">
      <c r="A7" s="3" t="s">
        <v>12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13</v>
      </c>
      <c r="R7" s="3" t="s">
        <v>14</v>
      </c>
      <c r="S7" s="3" t="s">
        <v>15</v>
      </c>
      <c r="T7" s="3" t="s">
        <v>16</v>
      </c>
      <c r="U7" s="3" t="s">
        <v>17</v>
      </c>
      <c r="V7" s="3" t="s">
        <v>13</v>
      </c>
      <c r="W7" s="3" t="s">
        <v>14</v>
      </c>
      <c r="X7" s="3" t="s">
        <v>15</v>
      </c>
      <c r="Y7" s="3" t="s">
        <v>16</v>
      </c>
      <c r="Z7" s="3" t="s">
        <v>17</v>
      </c>
    </row>
    <row r="8" spans="1:26">
      <c r="A8" s="3" t="s">
        <v>18</v>
      </c>
      <c r="B8" s="3">
        <v>0.5</v>
      </c>
      <c r="C8" s="3">
        <v>0.53</v>
      </c>
      <c r="D8" s="3">
        <v>0.55</v>
      </c>
      <c r="E8" s="3">
        <v>0.5</v>
      </c>
      <c r="F8" s="3">
        <v>0.53</v>
      </c>
      <c r="G8" s="3">
        <v>0.44</v>
      </c>
      <c r="H8" s="3">
        <v>0.44</v>
      </c>
      <c r="I8" s="3">
        <v>0.44</v>
      </c>
      <c r="J8" s="3">
        <v>0.41</v>
      </c>
      <c r="K8" s="3">
        <v>0.47</v>
      </c>
      <c r="L8" s="3">
        <v>0.55</v>
      </c>
      <c r="M8" s="3">
        <v>0.57</v>
      </c>
      <c r="N8" s="3">
        <v>0.58</v>
      </c>
      <c r="O8" s="7">
        <v>0.63</v>
      </c>
      <c r="P8" s="3">
        <v>0.6</v>
      </c>
      <c r="Q8" s="3">
        <v>0.5</v>
      </c>
      <c r="R8" s="3">
        <v>0.44</v>
      </c>
      <c r="S8" s="3">
        <v>0.52</v>
      </c>
      <c r="T8" s="3">
        <v>0.5</v>
      </c>
      <c r="U8" s="3">
        <v>0.4</v>
      </c>
      <c r="V8" s="3">
        <v>0.51</v>
      </c>
      <c r="W8" s="3">
        <v>0.6</v>
      </c>
      <c r="X8" s="3">
        <v>0.47</v>
      </c>
      <c r="Y8" s="3">
        <v>0.57</v>
      </c>
      <c r="Z8" s="3">
        <v>0.48</v>
      </c>
    </row>
    <row r="9" spans="1:26">
      <c r="A9" s="2" t="s">
        <v>20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11</v>
      </c>
      <c r="B10" s="4">
        <v>1</v>
      </c>
      <c r="C10" s="5"/>
      <c r="D10" s="5"/>
      <c r="E10" s="5"/>
      <c r="F10" s="6"/>
      <c r="G10" s="4">
        <v>2</v>
      </c>
      <c r="H10" s="5"/>
      <c r="I10" s="5"/>
      <c r="J10" s="5"/>
      <c r="K10" s="6"/>
      <c r="L10" s="4">
        <v>3</v>
      </c>
      <c r="M10" s="5"/>
      <c r="N10" s="5"/>
      <c r="O10" s="5"/>
      <c r="P10" s="6"/>
      <c r="Q10" s="4">
        <v>4</v>
      </c>
      <c r="R10" s="5"/>
      <c r="S10" s="5"/>
      <c r="T10" s="5"/>
      <c r="U10" s="6"/>
      <c r="V10" s="4">
        <v>5</v>
      </c>
      <c r="W10" s="5"/>
      <c r="X10" s="5"/>
      <c r="Y10" s="5"/>
      <c r="Z10" s="6"/>
    </row>
    <row r="11" spans="1:26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13</v>
      </c>
      <c r="H11" s="3" t="s">
        <v>14</v>
      </c>
      <c r="I11" s="3" t="s">
        <v>15</v>
      </c>
      <c r="J11" s="3" t="s">
        <v>16</v>
      </c>
      <c r="K11" s="3" t="s">
        <v>17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13</v>
      </c>
      <c r="R11" s="3" t="s">
        <v>14</v>
      </c>
      <c r="S11" s="3" t="s">
        <v>15</v>
      </c>
      <c r="T11" s="3" t="s">
        <v>16</v>
      </c>
      <c r="U11" s="3" t="s">
        <v>17</v>
      </c>
      <c r="V11" s="3" t="s">
        <v>13</v>
      </c>
      <c r="W11" s="3" t="s">
        <v>14</v>
      </c>
      <c r="X11" s="3" t="s">
        <v>15</v>
      </c>
      <c r="Y11" s="3" t="s">
        <v>16</v>
      </c>
      <c r="Z11" s="3" t="s">
        <v>17</v>
      </c>
    </row>
    <row r="12" spans="1:26">
      <c r="A12" s="3" t="s">
        <v>18</v>
      </c>
      <c r="B12" s="3">
        <v>0.47</v>
      </c>
      <c r="C12" s="3">
        <v>0.56</v>
      </c>
      <c r="D12" s="3">
        <v>0.73</v>
      </c>
      <c r="E12" s="3">
        <v>0.67</v>
      </c>
      <c r="F12" s="7">
        <v>0.8</v>
      </c>
      <c r="G12" s="3">
        <v>0.57</v>
      </c>
      <c r="H12" s="3">
        <v>0.58</v>
      </c>
      <c r="I12" s="3">
        <v>0.71</v>
      </c>
      <c r="J12" s="3">
        <v>0.7</v>
      </c>
      <c r="K12" s="3">
        <v>0.73</v>
      </c>
      <c r="L12" s="3">
        <v>0.7</v>
      </c>
      <c r="M12" s="3">
        <v>0.57</v>
      </c>
      <c r="N12" s="3">
        <v>0.67</v>
      </c>
      <c r="O12" s="3">
        <v>0.68</v>
      </c>
      <c r="P12" s="3">
        <v>0.63</v>
      </c>
      <c r="Q12" s="3">
        <v>0.68</v>
      </c>
      <c r="R12" s="3">
        <v>0.72</v>
      </c>
      <c r="S12" s="3">
        <v>0.52</v>
      </c>
      <c r="T12" s="3">
        <v>0.54</v>
      </c>
      <c r="U12" s="3">
        <v>0.68</v>
      </c>
      <c r="V12" s="3">
        <v>0.6</v>
      </c>
      <c r="W12" s="3">
        <v>0.58</v>
      </c>
      <c r="X12" s="3">
        <v>0.62</v>
      </c>
      <c r="Y12" s="3">
        <v>0.73</v>
      </c>
      <c r="Z12" s="3">
        <v>0.58</v>
      </c>
    </row>
  </sheetData>
  <mergeCells count="18">
    <mergeCell ref="A1:Z1"/>
    <mergeCell ref="B2:F2"/>
    <mergeCell ref="G2:K2"/>
    <mergeCell ref="L2:P2"/>
    <mergeCell ref="Q2:U2"/>
    <mergeCell ref="V2:Z2"/>
    <mergeCell ref="A5:Z5"/>
    <mergeCell ref="B6:F6"/>
    <mergeCell ref="G6:K6"/>
    <mergeCell ref="L6:P6"/>
    <mergeCell ref="Q6:U6"/>
    <mergeCell ref="V6:Z6"/>
    <mergeCell ref="A9:Z9"/>
    <mergeCell ref="B10:F10"/>
    <mergeCell ref="G10:K10"/>
    <mergeCell ref="L10:P10"/>
    <mergeCell ref="Q10:U10"/>
    <mergeCell ref="V10:Z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zoomScale="85" zoomScaleNormal="85" workbookViewId="0">
      <selection activeCell="A1" sqref="A1:F25"/>
    </sheetView>
  </sheetViews>
  <sheetFormatPr defaultColWidth="8.88888888888889" defaultRowHeight="15" outlineLevelCol="6"/>
  <cols>
    <col min="2" max="7" width="22.1111111111111" style="1" customWidth="1"/>
  </cols>
  <sheetData>
    <row r="1" spans="1:7">
      <c r="A1" t="s">
        <v>0</v>
      </c>
      <c r="B1" s="1" t="s">
        <v>10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2:7"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</row>
    <row r="3" spans="2:7"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</row>
    <row r="4" spans="1:7">
      <c r="A4" t="s">
        <v>3</v>
      </c>
      <c r="B4" s="1">
        <v>100</v>
      </c>
      <c r="C4" s="1">
        <v>100</v>
      </c>
      <c r="D4" s="1">
        <v>100</v>
      </c>
      <c r="E4" s="1">
        <v>100</v>
      </c>
      <c r="F4" s="1">
        <v>100</v>
      </c>
      <c r="G4" s="1">
        <v>100</v>
      </c>
    </row>
    <row r="5" spans="1:7">
      <c r="A5" t="s">
        <v>4</v>
      </c>
      <c r="B5" s="1">
        <v>44.44</v>
      </c>
      <c r="C5" s="1">
        <v>80.56</v>
      </c>
      <c r="D5" s="1">
        <v>94.44</v>
      </c>
      <c r="E5" s="1">
        <v>97.22</v>
      </c>
      <c r="F5" s="1">
        <v>97.22</v>
      </c>
      <c r="G5" s="1">
        <v>87.5</v>
      </c>
    </row>
    <row r="6" spans="1:7">
      <c r="A6" t="s">
        <v>5</v>
      </c>
      <c r="B6" s="1">
        <v>44.44</v>
      </c>
      <c r="C6" s="1">
        <v>65.28</v>
      </c>
      <c r="D6" s="1">
        <v>87.5</v>
      </c>
      <c r="E6" s="1">
        <v>94.44</v>
      </c>
      <c r="F6" s="1">
        <v>95.83</v>
      </c>
      <c r="G6" s="1">
        <v>68.06</v>
      </c>
    </row>
    <row r="7" spans="1:7">
      <c r="A7" t="s">
        <v>6</v>
      </c>
      <c r="B7" s="1">
        <v>10.71</v>
      </c>
      <c r="C7" s="1">
        <v>29.76</v>
      </c>
      <c r="D7" s="1">
        <v>46.43</v>
      </c>
      <c r="E7" s="1">
        <v>89.29</v>
      </c>
      <c r="F7" s="1">
        <v>89.29</v>
      </c>
      <c r="G7" s="1">
        <v>42.86</v>
      </c>
    </row>
    <row r="8" spans="1:7">
      <c r="A8" t="s">
        <v>0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</row>
    <row r="9" spans="2:7">
      <c r="B9" s="1" t="s">
        <v>2</v>
      </c>
      <c r="C9" s="1" t="s">
        <v>2</v>
      </c>
      <c r="D9" s="1" t="s">
        <v>2</v>
      </c>
      <c r="E9" s="1" t="s">
        <v>2</v>
      </c>
      <c r="F9" s="1" t="s">
        <v>2</v>
      </c>
      <c r="G9" s="1" t="s">
        <v>2</v>
      </c>
    </row>
    <row r="10" spans="1:7">
      <c r="A10" t="s">
        <v>3</v>
      </c>
      <c r="B10" s="1">
        <v>100</v>
      </c>
      <c r="C10" s="1">
        <v>100</v>
      </c>
      <c r="D10" s="1">
        <v>100</v>
      </c>
      <c r="E10" s="1">
        <v>100</v>
      </c>
      <c r="F10" s="1">
        <v>100</v>
      </c>
      <c r="G10" s="1">
        <v>100</v>
      </c>
    </row>
    <row r="11" spans="1:7">
      <c r="A11" t="s">
        <v>4</v>
      </c>
      <c r="B11" s="1">
        <v>50</v>
      </c>
      <c r="C11" s="1">
        <v>72.22</v>
      </c>
      <c r="D11" s="1">
        <v>69.44</v>
      </c>
      <c r="E11" s="1">
        <v>72.22</v>
      </c>
      <c r="F11" s="1">
        <v>72.22</v>
      </c>
      <c r="G11" s="1">
        <v>56.94</v>
      </c>
    </row>
    <row r="12" spans="1:7">
      <c r="A12" t="s">
        <v>5</v>
      </c>
      <c r="B12" s="1">
        <v>27.78</v>
      </c>
      <c r="C12" s="1">
        <v>43.06</v>
      </c>
      <c r="D12" s="1">
        <v>45.83</v>
      </c>
      <c r="E12" s="1">
        <v>63.89</v>
      </c>
      <c r="F12" s="1">
        <v>62.5</v>
      </c>
      <c r="G12" s="1">
        <v>41.67</v>
      </c>
    </row>
    <row r="13" spans="1:7">
      <c r="A13" t="s">
        <v>6</v>
      </c>
      <c r="B13" s="1">
        <v>11.9</v>
      </c>
      <c r="C13" s="1">
        <v>23.81</v>
      </c>
      <c r="D13" s="1">
        <v>33.33</v>
      </c>
      <c r="E13" s="1">
        <v>48.81</v>
      </c>
      <c r="F13" s="1">
        <v>39.29</v>
      </c>
      <c r="G13" s="1">
        <v>22.62</v>
      </c>
    </row>
    <row r="14" spans="1:7">
      <c r="A14" t="s">
        <v>0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8</v>
      </c>
    </row>
    <row r="15" spans="2:7">
      <c r="B15" s="1" t="s">
        <v>2</v>
      </c>
      <c r="C15" s="1" t="s">
        <v>2</v>
      </c>
      <c r="D15" s="1" t="s">
        <v>2</v>
      </c>
      <c r="E15" s="1" t="s">
        <v>2</v>
      </c>
      <c r="F15" s="1" t="s">
        <v>2</v>
      </c>
      <c r="G15" s="1" t="s">
        <v>2</v>
      </c>
    </row>
    <row r="16" spans="1:7">
      <c r="A16" t="s">
        <v>3</v>
      </c>
      <c r="B16" s="1">
        <v>100</v>
      </c>
      <c r="C16" s="1">
        <v>100</v>
      </c>
      <c r="D16" s="1">
        <v>100</v>
      </c>
      <c r="E16" s="1">
        <v>100</v>
      </c>
      <c r="F16" s="1">
        <v>100</v>
      </c>
      <c r="G16" s="1">
        <v>100</v>
      </c>
    </row>
    <row r="17" spans="1:7">
      <c r="A17" t="s">
        <v>4</v>
      </c>
      <c r="B17" s="1">
        <v>44.44</v>
      </c>
      <c r="C17" s="1">
        <v>77.78</v>
      </c>
      <c r="D17" s="1">
        <v>97.22</v>
      </c>
      <c r="E17" s="1">
        <v>94.44</v>
      </c>
      <c r="F17" s="1">
        <v>91.67</v>
      </c>
      <c r="G17" s="1">
        <v>69.44</v>
      </c>
    </row>
    <row r="18" spans="1:7">
      <c r="A18" t="s">
        <v>5</v>
      </c>
      <c r="B18" s="1">
        <v>36.11</v>
      </c>
      <c r="C18" s="1">
        <v>75</v>
      </c>
      <c r="D18" s="1">
        <v>94.44</v>
      </c>
      <c r="E18" s="1">
        <v>100</v>
      </c>
      <c r="F18" s="1">
        <v>88.89</v>
      </c>
      <c r="G18" s="1">
        <v>58.33</v>
      </c>
    </row>
    <row r="19" spans="1:7">
      <c r="A19" t="s">
        <v>6</v>
      </c>
      <c r="B19" s="1">
        <v>7.14</v>
      </c>
      <c r="C19" s="1">
        <v>33.33</v>
      </c>
      <c r="D19" s="1">
        <v>23.81</v>
      </c>
      <c r="E19" s="1">
        <v>90.48</v>
      </c>
      <c r="F19" s="1">
        <v>90.48</v>
      </c>
      <c r="G19" s="1">
        <v>38.1</v>
      </c>
    </row>
    <row r="20" spans="1:7">
      <c r="A20" t="s">
        <v>0</v>
      </c>
      <c r="B20" s="1" t="s">
        <v>9</v>
      </c>
      <c r="C20" s="1" t="s">
        <v>9</v>
      </c>
      <c r="D20" s="1" t="s">
        <v>9</v>
      </c>
      <c r="E20" s="1" t="s">
        <v>9</v>
      </c>
      <c r="F20" s="1" t="s">
        <v>9</v>
      </c>
      <c r="G20" s="1" t="s">
        <v>9</v>
      </c>
    </row>
    <row r="21" spans="2:7">
      <c r="B21" s="1" t="s">
        <v>2</v>
      </c>
      <c r="C21" s="1" t="s">
        <v>2</v>
      </c>
      <c r="D21" s="1" t="s">
        <v>2</v>
      </c>
      <c r="E21" s="1" t="s">
        <v>2</v>
      </c>
      <c r="F21" s="1" t="s">
        <v>2</v>
      </c>
      <c r="G21" s="1" t="s">
        <v>2</v>
      </c>
    </row>
    <row r="22" spans="1:7">
      <c r="A22" t="s">
        <v>3</v>
      </c>
      <c r="B22" s="1">
        <v>100</v>
      </c>
      <c r="C22" s="1">
        <v>100</v>
      </c>
      <c r="D22" s="1">
        <v>100</v>
      </c>
      <c r="E22" s="1">
        <v>100</v>
      </c>
      <c r="F22" s="1">
        <v>100</v>
      </c>
      <c r="G22" s="1">
        <v>100</v>
      </c>
    </row>
    <row r="23" spans="1:7">
      <c r="A23" t="s">
        <v>4</v>
      </c>
      <c r="B23" s="1">
        <v>41.67</v>
      </c>
      <c r="C23" s="1">
        <v>63.89</v>
      </c>
      <c r="D23" s="1">
        <v>80.56</v>
      </c>
      <c r="E23" s="1">
        <v>69.44</v>
      </c>
      <c r="F23" s="1">
        <v>77.78</v>
      </c>
      <c r="G23" s="1">
        <v>55.56</v>
      </c>
    </row>
    <row r="24" spans="1:7">
      <c r="A24" t="s">
        <v>5</v>
      </c>
      <c r="B24" s="1">
        <v>13.89</v>
      </c>
      <c r="C24" s="1">
        <v>41.67</v>
      </c>
      <c r="D24" s="1">
        <v>50</v>
      </c>
      <c r="E24" s="1">
        <v>61.11</v>
      </c>
      <c r="F24" s="1">
        <v>80.56</v>
      </c>
      <c r="G24" s="1">
        <v>47.22</v>
      </c>
    </row>
    <row r="25" spans="1:7">
      <c r="A25" t="s">
        <v>6</v>
      </c>
      <c r="B25" s="1">
        <v>7.14</v>
      </c>
      <c r="C25" s="1">
        <v>26.19</v>
      </c>
      <c r="D25" s="1">
        <v>23.81</v>
      </c>
      <c r="E25" s="1">
        <v>40.48</v>
      </c>
      <c r="F25" s="1">
        <v>28.57</v>
      </c>
      <c r="G25" s="1">
        <v>19.05</v>
      </c>
    </row>
  </sheetData>
  <conditionalFormatting sqref="B4:G25">
    <cfRule type="expression" dxfId="0" priority="1">
      <formula>B4=MAX($B4:$G4)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benchmark</vt:lpstr>
      <vt:lpstr>Vp</vt:lpstr>
      <vt:lpstr>Benchmark value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edgpc</dc:creator>
  <cp:lastModifiedBy>edgpc</cp:lastModifiedBy>
  <dcterms:created xsi:type="dcterms:W3CDTF">2025-10-17T19:49:00Z</dcterms:created>
  <dcterms:modified xsi:type="dcterms:W3CDTF">2025-11-10T21:22:04Z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